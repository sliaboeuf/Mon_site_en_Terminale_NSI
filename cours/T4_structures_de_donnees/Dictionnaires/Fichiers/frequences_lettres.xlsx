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" windowWidth="14115" windowHeight="11025"/>
  </bookViews>
  <sheets>
    <sheet name="Feuil1" sheetId="1" r:id="rId1"/>
    <sheet name="Feuil2" sheetId="2" r:id="rId2"/>
    <sheet name="Feuil3" sheetId="3" r:id="rId3"/>
    <sheet name="Feuil4" sheetId="4" r:id="rId4"/>
  </sheets>
  <calcPr calcId="124519"/>
</workbook>
</file>

<file path=xl/calcChain.xml><?xml version="1.0" encoding="utf-8"?>
<calcChain xmlns="http://schemas.openxmlformats.org/spreadsheetml/2006/main">
  <c r="C4" i="2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3"/>
  <c r="C2"/>
  <c r="C28" l="1"/>
  <c r="C29" l="1"/>
  <c r="D6"/>
  <c r="E6" s="1"/>
  <c r="D10"/>
  <c r="E10" s="1"/>
  <c r="D14"/>
  <c r="E14" s="1"/>
  <c r="D18"/>
  <c r="E18" s="1"/>
  <c r="D22"/>
  <c r="E22" s="1"/>
  <c r="D26"/>
  <c r="E26" s="1"/>
  <c r="D27"/>
  <c r="E27" s="1"/>
  <c r="D17"/>
  <c r="E17" s="1"/>
  <c r="D4"/>
  <c r="E4" s="1"/>
  <c r="D7"/>
  <c r="E7" s="1"/>
  <c r="D23"/>
  <c r="E23" s="1"/>
  <c r="D13"/>
  <c r="E13" s="1"/>
  <c r="D3"/>
  <c r="E3" s="1"/>
  <c r="D20"/>
  <c r="E20" s="1"/>
  <c r="D19"/>
  <c r="E19" s="1"/>
  <c r="D24"/>
  <c r="E24" s="1"/>
  <c r="D9"/>
  <c r="E9" s="1"/>
  <c r="D25"/>
  <c r="E25" s="1"/>
  <c r="D16"/>
  <c r="E16" s="1"/>
  <c r="D15"/>
  <c r="E15" s="1"/>
  <c r="D12"/>
  <c r="E12" s="1"/>
  <c r="D5"/>
  <c r="E5" s="1"/>
  <c r="D21"/>
  <c r="E21" s="1"/>
  <c r="D8"/>
  <c r="E8" s="1"/>
  <c r="D11"/>
  <c r="E11" s="1"/>
  <c r="D2"/>
  <c r="E2" s="1"/>
  <c r="D28" l="1"/>
</calcChain>
</file>

<file path=xl/sharedStrings.xml><?xml version="1.0" encoding="utf-8"?>
<sst xmlns="http://schemas.openxmlformats.org/spreadsheetml/2006/main" count="275" uniqueCount="205">
  <si>
    <t>a</t>
  </si>
  <si>
    <t>7.636%</t>
  </si>
  <si>
    <t>6.51%</t>
  </si>
  <si>
    <t>12.53%</t>
  </si>
  <si>
    <t>14.63%</t>
  </si>
  <si>
    <t>11.74%</t>
  </si>
  <si>
    <t>b</t>
  </si>
  <si>
    <t>0.901%</t>
  </si>
  <si>
    <t>1.89%</t>
  </si>
  <si>
    <t>1.42%</t>
  </si>
  <si>
    <t>1.04%</t>
  </si>
  <si>
    <t>0.92%</t>
  </si>
  <si>
    <t>c</t>
  </si>
  <si>
    <t>3.260%</t>
  </si>
  <si>
    <t>3.06%</t>
  </si>
  <si>
    <t>4.68%</t>
  </si>
  <si>
    <t>3.88%</t>
  </si>
  <si>
    <t>4.5%</t>
  </si>
  <si>
    <t>d</t>
  </si>
  <si>
    <t>3.669%</t>
  </si>
  <si>
    <t>5.08%</t>
  </si>
  <si>
    <t>5.86%</t>
  </si>
  <si>
    <t>4.99%</t>
  </si>
  <si>
    <t>3.73%</t>
  </si>
  <si>
    <t>e</t>
  </si>
  <si>
    <t>14.715%</t>
  </si>
  <si>
    <t>17.40%</t>
  </si>
  <si>
    <t>13.68%</t>
  </si>
  <si>
    <t>12.57%</t>
  </si>
  <si>
    <t>11.79%</t>
  </si>
  <si>
    <t>f</t>
  </si>
  <si>
    <t>1.066%</t>
  </si>
  <si>
    <t>1.66%</t>
  </si>
  <si>
    <t>0.69%</t>
  </si>
  <si>
    <t>1.02%</t>
  </si>
  <si>
    <t>0.95%</t>
  </si>
  <si>
    <t>g</t>
  </si>
  <si>
    <t>0.866%</t>
  </si>
  <si>
    <t>3.01%</t>
  </si>
  <si>
    <t>1.01%</t>
  </si>
  <si>
    <t>1.30%</t>
  </si>
  <si>
    <t>1.64%</t>
  </si>
  <si>
    <t>h</t>
  </si>
  <si>
    <t>0.737%</t>
  </si>
  <si>
    <t>4.76%</t>
  </si>
  <si>
    <t>0.70%</t>
  </si>
  <si>
    <t>1.28%</t>
  </si>
  <si>
    <t>1.54%</t>
  </si>
  <si>
    <t>i</t>
  </si>
  <si>
    <t>7.529%</t>
  </si>
  <si>
    <t>7.55%</t>
  </si>
  <si>
    <t>6.25%</t>
  </si>
  <si>
    <t>6.18%</t>
  </si>
  <si>
    <t>11.28%</t>
  </si>
  <si>
    <t>j</t>
  </si>
  <si>
    <t>0.545%</t>
  </si>
  <si>
    <t>0.27%</t>
  </si>
  <si>
    <t>0.44%</t>
  </si>
  <si>
    <t>0.40%</t>
  </si>
  <si>
    <t>0.00%</t>
  </si>
  <si>
    <t>k</t>
  </si>
  <si>
    <t>0.049%</t>
  </si>
  <si>
    <t>1.21%</t>
  </si>
  <si>
    <t>0.01%</t>
  </si>
  <si>
    <t>0.02%</t>
  </si>
  <si>
    <t>l</t>
  </si>
  <si>
    <t>5.456%</t>
  </si>
  <si>
    <t>3.44%</t>
  </si>
  <si>
    <t>4.97%</t>
  </si>
  <si>
    <t>2.78%</t>
  </si>
  <si>
    <t>m</t>
  </si>
  <si>
    <t>2.968%</t>
  </si>
  <si>
    <t>2.53%</t>
  </si>
  <si>
    <t>3.15%</t>
  </si>
  <si>
    <t>4.74%</t>
  </si>
  <si>
    <t>2.51%</t>
  </si>
  <si>
    <t>n</t>
  </si>
  <si>
    <t>7.095%</t>
  </si>
  <si>
    <t>9.78%</t>
  </si>
  <si>
    <t>6.71%</t>
  </si>
  <si>
    <t>5.05%</t>
  </si>
  <si>
    <t>6.88%</t>
  </si>
  <si>
    <t>o</t>
  </si>
  <si>
    <t>5.378%</t>
  </si>
  <si>
    <t>8.68%</t>
  </si>
  <si>
    <t>10.73%</t>
  </si>
  <si>
    <t>9.83%</t>
  </si>
  <si>
    <t>p</t>
  </si>
  <si>
    <t>3.021%</t>
  </si>
  <si>
    <t>0.79%</t>
  </si>
  <si>
    <t>2.52%</t>
  </si>
  <si>
    <t>3.05%</t>
  </si>
  <si>
    <t>q</t>
  </si>
  <si>
    <t>1.362%</t>
  </si>
  <si>
    <t>0.88%</t>
  </si>
  <si>
    <t>1.20%</t>
  </si>
  <si>
    <t>0.51%</t>
  </si>
  <si>
    <t>r</t>
  </si>
  <si>
    <t>6.553%</t>
  </si>
  <si>
    <t>7.00%</t>
  </si>
  <si>
    <t>6.87%</t>
  </si>
  <si>
    <t>6.53%</t>
  </si>
  <si>
    <t>6.37%</t>
  </si>
  <si>
    <t>s</t>
  </si>
  <si>
    <t>7.948%</t>
  </si>
  <si>
    <t>7.27%</t>
  </si>
  <si>
    <t>7.98%</t>
  </si>
  <si>
    <t>7.81%</t>
  </si>
  <si>
    <t>4.98%</t>
  </si>
  <si>
    <t>t</t>
  </si>
  <si>
    <t>7.244%</t>
  </si>
  <si>
    <t>6.15%</t>
  </si>
  <si>
    <t>4.63%</t>
  </si>
  <si>
    <t>5.62%</t>
  </si>
  <si>
    <t>u</t>
  </si>
  <si>
    <t>6.311%</t>
  </si>
  <si>
    <t>4.35%</t>
  </si>
  <si>
    <t>3.93%</t>
  </si>
  <si>
    <t>v</t>
  </si>
  <si>
    <t>1.628%</t>
  </si>
  <si>
    <t>0.67%</t>
  </si>
  <si>
    <t>0.90%</t>
  </si>
  <si>
    <t>1.67%</t>
  </si>
  <si>
    <t>2.10%</t>
  </si>
  <si>
    <t>w</t>
  </si>
  <si>
    <t>0.114%</t>
  </si>
  <si>
    <t>x</t>
  </si>
  <si>
    <t>0.387%</t>
  </si>
  <si>
    <t>0.03%</t>
  </si>
  <si>
    <t>0.22%</t>
  </si>
  <si>
    <t>0.21%</t>
  </si>
  <si>
    <t>y</t>
  </si>
  <si>
    <t>0.308%</t>
  </si>
  <si>
    <t>0.04%</t>
  </si>
  <si>
    <t>z</t>
  </si>
  <si>
    <t>0.136%</t>
  </si>
  <si>
    <t>1.13%</t>
  </si>
  <si>
    <t>0.52%</t>
  </si>
  <si>
    <t>0.47%</t>
  </si>
  <si>
    <t>0.49%</t>
  </si>
  <si>
    <t>Lettre</t>
  </si>
  <si>
    <t>Français</t>
  </si>
  <si>
    <t>Allemand</t>
  </si>
  <si>
    <t>Espagnol</t>
  </si>
  <si>
    <t>Portugais</t>
  </si>
  <si>
    <t>Italien</t>
  </si>
  <si>
    <t>8.08 %</t>
  </si>
  <si>
    <t>N</t>
  </si>
  <si>
    <t>7.38 %</t>
  </si>
  <si>
    <t>B</t>
  </si>
  <si>
    <t>1.67 %</t>
  </si>
  <si>
    <t>O</t>
  </si>
  <si>
    <t>7.47 %</t>
  </si>
  <si>
    <t>C</t>
  </si>
  <si>
    <t>3.18 %</t>
  </si>
  <si>
    <t>P</t>
  </si>
  <si>
    <t>1.91 %</t>
  </si>
  <si>
    <t>D</t>
  </si>
  <si>
    <t>3.99 %</t>
  </si>
  <si>
    <t>Q</t>
  </si>
  <si>
    <t>0.09 %</t>
  </si>
  <si>
    <t>E</t>
  </si>
  <si>
    <t>12.56 %</t>
  </si>
  <si>
    <t>R</t>
  </si>
  <si>
    <t>6.42 %</t>
  </si>
  <si>
    <t>F</t>
  </si>
  <si>
    <t>2.17 %</t>
  </si>
  <si>
    <t>S</t>
  </si>
  <si>
    <t>6.59 %</t>
  </si>
  <si>
    <t>G</t>
  </si>
  <si>
    <t>1.80 %</t>
  </si>
  <si>
    <t>T</t>
  </si>
  <si>
    <t>9.15 %</t>
  </si>
  <si>
    <t>H</t>
  </si>
  <si>
    <t>5.27 %</t>
  </si>
  <si>
    <t>U</t>
  </si>
  <si>
    <t>2.79 %</t>
  </si>
  <si>
    <t>I</t>
  </si>
  <si>
    <t>7.24 %</t>
  </si>
  <si>
    <t>V</t>
  </si>
  <si>
    <t>1.00 %</t>
  </si>
  <si>
    <t>J</t>
  </si>
  <si>
    <t>0.14 %</t>
  </si>
  <si>
    <t>W</t>
  </si>
  <si>
    <t>1.89 %</t>
  </si>
  <si>
    <t>K</t>
  </si>
  <si>
    <t>0.63 %</t>
  </si>
  <si>
    <t>X</t>
  </si>
  <si>
    <t>0.21 %</t>
  </si>
  <si>
    <t>L</t>
  </si>
  <si>
    <t>4.04 %</t>
  </si>
  <si>
    <t>Y</t>
  </si>
  <si>
    <t>1.65 %</t>
  </si>
  <si>
    <t>M</t>
  </si>
  <si>
    <t>2.60 %</t>
  </si>
  <si>
    <t>Z</t>
  </si>
  <si>
    <t>0.07 %</t>
  </si>
  <si>
    <t>Fréquence</t>
  </si>
  <si>
    <t>A</t>
  </si>
  <si>
    <t>Anglais</t>
  </si>
  <si>
    <t>TOTAL :</t>
  </si>
  <si>
    <t>converti</t>
  </si>
  <si>
    <t>normalisé</t>
  </si>
  <si>
    <t>delta :</t>
  </si>
  <si>
    <t>COPIER</t>
  </si>
</sst>
</file>

<file path=xl/styles.xml><?xml version="1.0" encoding="utf-8"?>
<styleSheet xmlns="http://schemas.openxmlformats.org/spreadsheetml/2006/main">
  <numFmts count="1">
    <numFmt numFmtId="164" formatCode="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0D8C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FFCC33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121714"/>
      </left>
      <right style="thick">
        <color rgb="FF000000"/>
      </right>
      <top style="thick">
        <color rgb="FF121714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121714"/>
      </top>
      <bottom style="thick">
        <color rgb="FF000000"/>
      </bottom>
      <diagonal/>
    </border>
    <border>
      <left style="thick">
        <color rgb="FF000000"/>
      </left>
      <right style="thick">
        <color rgb="FF121714"/>
      </right>
      <top style="thick">
        <color rgb="FF121714"/>
      </top>
      <bottom style="thick">
        <color rgb="FF000000"/>
      </bottom>
      <diagonal/>
    </border>
    <border>
      <left style="thick">
        <color rgb="FF12171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121714"/>
      </right>
      <top style="thick">
        <color rgb="FF000000"/>
      </top>
      <bottom style="thick">
        <color rgb="FF000000"/>
      </bottom>
      <diagonal/>
    </border>
    <border>
      <left style="thick">
        <color rgb="FF121714"/>
      </left>
      <right style="thick">
        <color rgb="FF000000"/>
      </right>
      <top style="thick">
        <color rgb="FF000000"/>
      </top>
      <bottom style="thick">
        <color rgb="FF12171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121714"/>
      </bottom>
      <diagonal/>
    </border>
    <border>
      <left style="thick">
        <color rgb="FF000000"/>
      </left>
      <right style="thick">
        <color rgb="FF121714"/>
      </right>
      <top style="thick">
        <color rgb="FF000000"/>
      </top>
      <bottom style="thick">
        <color rgb="FF121714"/>
      </bottom>
      <diagonal/>
    </border>
    <border>
      <left style="thick">
        <color rgb="FF121714"/>
      </left>
      <right style="thick">
        <color rgb="FF000000"/>
      </right>
      <top style="thick">
        <color rgb="FF121714"/>
      </top>
      <bottom style="thick">
        <color rgb="FF121714"/>
      </bottom>
      <diagonal/>
    </border>
    <border>
      <left style="thick">
        <color rgb="FF000000"/>
      </left>
      <right style="thick">
        <color rgb="FF000000"/>
      </right>
      <top style="thick">
        <color rgb="FF121714"/>
      </top>
      <bottom style="thick">
        <color rgb="FF121714"/>
      </bottom>
      <diagonal/>
    </border>
    <border>
      <left style="thick">
        <color rgb="FF000000"/>
      </left>
      <right style="thick">
        <color rgb="FF121714"/>
      </right>
      <top style="thick">
        <color rgb="FF121714"/>
      </top>
      <bottom style="thick">
        <color rgb="FF12171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0" xfId="0" quotePrefix="1"/>
    <xf numFmtId="0" fontId="0" fillId="2" borderId="0" xfId="0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164" fontId="0" fillId="2" borderId="3" xfId="0" applyNumberFormat="1" applyFill="1" applyBorder="1" applyAlignment="1">
      <alignment horizontal="center" wrapText="1"/>
    </xf>
    <xf numFmtId="0" fontId="1" fillId="6" borderId="1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G2" sqref="G2:G27"/>
    </sheetView>
  </sheetViews>
  <sheetFormatPr baseColWidth="10" defaultRowHeight="15"/>
  <sheetData>
    <row r="1" spans="1:7" ht="16.5" thickTop="1" thickBot="1">
      <c r="A1" s="10" t="s">
        <v>140</v>
      </c>
      <c r="B1" s="11" t="s">
        <v>141</v>
      </c>
      <c r="C1" s="11" t="s">
        <v>142</v>
      </c>
      <c r="D1" s="11" t="s">
        <v>143</v>
      </c>
      <c r="E1" s="11" t="s">
        <v>144</v>
      </c>
      <c r="F1" s="12" t="s">
        <v>145</v>
      </c>
      <c r="G1" s="12" t="s">
        <v>199</v>
      </c>
    </row>
    <row r="2" spans="1:7" ht="16.5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146</v>
      </c>
    </row>
    <row r="3" spans="1:7" ht="16.5" thickTop="1" thickBot="1">
      <c r="A3" s="5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6" t="s">
        <v>11</v>
      </c>
      <c r="G3" s="6" t="s">
        <v>150</v>
      </c>
    </row>
    <row r="4" spans="1:7" ht="16.5" thickTop="1" thickBot="1">
      <c r="A4" s="5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6" t="s">
        <v>17</v>
      </c>
      <c r="G4" s="6" t="s">
        <v>154</v>
      </c>
    </row>
    <row r="5" spans="1:7" ht="16.5" thickTop="1" thickBot="1">
      <c r="A5" s="5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6" t="s">
        <v>23</v>
      </c>
      <c r="G5" s="6" t="s">
        <v>158</v>
      </c>
    </row>
    <row r="6" spans="1:7" ht="16.5" thickTop="1" thickBot="1">
      <c r="A6" s="5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6" t="s">
        <v>29</v>
      </c>
      <c r="G6" s="6" t="s">
        <v>162</v>
      </c>
    </row>
    <row r="7" spans="1:7" ht="16.5" thickTop="1" thickBot="1">
      <c r="A7" s="5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6" t="s">
        <v>35</v>
      </c>
      <c r="G7" s="6" t="s">
        <v>166</v>
      </c>
    </row>
    <row r="8" spans="1:7" ht="16.5" thickTop="1" thickBot="1">
      <c r="A8" s="5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6" t="s">
        <v>41</v>
      </c>
      <c r="G8" s="6" t="s">
        <v>170</v>
      </c>
    </row>
    <row r="9" spans="1:7" ht="16.5" thickTop="1" thickBot="1">
      <c r="A9" s="5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6" t="s">
        <v>47</v>
      </c>
      <c r="G9" s="6" t="s">
        <v>174</v>
      </c>
    </row>
    <row r="10" spans="1:7" ht="16.5" thickTop="1" thickBot="1">
      <c r="A10" s="5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6" t="s">
        <v>53</v>
      </c>
      <c r="G10" s="6" t="s">
        <v>178</v>
      </c>
    </row>
    <row r="11" spans="1:7" ht="16.5" thickTop="1" thickBot="1">
      <c r="A11" s="5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6" t="s">
        <v>59</v>
      </c>
      <c r="G11" s="6" t="s">
        <v>182</v>
      </c>
    </row>
    <row r="12" spans="1:7" ht="16.5" thickTop="1" thickBot="1">
      <c r="A12" s="5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6" t="s">
        <v>59</v>
      </c>
      <c r="G12" s="6" t="s">
        <v>186</v>
      </c>
    </row>
    <row r="13" spans="1:7" ht="16.5" thickTop="1" thickBot="1">
      <c r="A13" s="5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6" t="s">
        <v>2</v>
      </c>
      <c r="G13" s="6" t="s">
        <v>190</v>
      </c>
    </row>
    <row r="14" spans="1:7" ht="16.5" thickTop="1" thickBot="1">
      <c r="A14" s="5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6" t="s">
        <v>75</v>
      </c>
      <c r="G14" s="6" t="s">
        <v>194</v>
      </c>
    </row>
    <row r="15" spans="1:7" ht="16.5" thickTop="1" thickBot="1">
      <c r="A15" s="5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6" t="s">
        <v>81</v>
      </c>
      <c r="G15" s="6" t="s">
        <v>148</v>
      </c>
    </row>
    <row r="16" spans="1:7" ht="16.5" thickTop="1" thickBot="1">
      <c r="A16" s="5" t="s">
        <v>82</v>
      </c>
      <c r="B16" s="1" t="s">
        <v>83</v>
      </c>
      <c r="C16" s="1" t="s">
        <v>75</v>
      </c>
      <c r="D16" s="1" t="s">
        <v>84</v>
      </c>
      <c r="E16" s="1" t="s">
        <v>85</v>
      </c>
      <c r="F16" s="6" t="s">
        <v>86</v>
      </c>
      <c r="G16" s="6" t="s">
        <v>152</v>
      </c>
    </row>
    <row r="17" spans="1:7" ht="16.5" thickTop="1" thickBot="1">
      <c r="A17" s="5" t="s">
        <v>87</v>
      </c>
      <c r="B17" s="1" t="s">
        <v>88</v>
      </c>
      <c r="C17" s="1" t="s">
        <v>89</v>
      </c>
      <c r="D17" s="1" t="s">
        <v>75</v>
      </c>
      <c r="E17" s="1" t="s">
        <v>90</v>
      </c>
      <c r="F17" s="6" t="s">
        <v>91</v>
      </c>
      <c r="G17" s="6" t="s">
        <v>156</v>
      </c>
    </row>
    <row r="18" spans="1:7" ht="16.5" thickTop="1" thickBot="1">
      <c r="A18" s="5" t="s">
        <v>92</v>
      </c>
      <c r="B18" s="1" t="s">
        <v>93</v>
      </c>
      <c r="C18" s="1" t="s">
        <v>64</v>
      </c>
      <c r="D18" s="1" t="s">
        <v>94</v>
      </c>
      <c r="E18" s="1" t="s">
        <v>95</v>
      </c>
      <c r="F18" s="6" t="s">
        <v>96</v>
      </c>
      <c r="G18" s="6" t="s">
        <v>160</v>
      </c>
    </row>
    <row r="19" spans="1:7" ht="16.5" thickTop="1" thickBot="1">
      <c r="A19" s="5" t="s">
        <v>97</v>
      </c>
      <c r="B19" s="1" t="s">
        <v>98</v>
      </c>
      <c r="C19" s="1" t="s">
        <v>99</v>
      </c>
      <c r="D19" s="1" t="s">
        <v>100</v>
      </c>
      <c r="E19" s="1" t="s">
        <v>101</v>
      </c>
      <c r="F19" s="6" t="s">
        <v>102</v>
      </c>
      <c r="G19" s="6" t="s">
        <v>164</v>
      </c>
    </row>
    <row r="20" spans="1:7" ht="16.5" thickTop="1" thickBot="1">
      <c r="A20" s="5" t="s">
        <v>103</v>
      </c>
      <c r="B20" s="1" t="s">
        <v>104</v>
      </c>
      <c r="C20" s="1" t="s">
        <v>105</v>
      </c>
      <c r="D20" s="1" t="s">
        <v>106</v>
      </c>
      <c r="E20" s="1" t="s">
        <v>107</v>
      </c>
      <c r="F20" s="6" t="s">
        <v>108</v>
      </c>
      <c r="G20" s="6" t="s">
        <v>168</v>
      </c>
    </row>
    <row r="21" spans="1:7" ht="16.5" thickTop="1" thickBot="1">
      <c r="A21" s="5" t="s">
        <v>109</v>
      </c>
      <c r="B21" s="1" t="s">
        <v>110</v>
      </c>
      <c r="C21" s="1" t="s">
        <v>111</v>
      </c>
      <c r="D21" s="1" t="s">
        <v>112</v>
      </c>
      <c r="E21" s="1" t="s">
        <v>74</v>
      </c>
      <c r="F21" s="6" t="s">
        <v>113</v>
      </c>
      <c r="G21" s="6" t="s">
        <v>172</v>
      </c>
    </row>
    <row r="22" spans="1:7" ht="16.5" thickTop="1" thickBot="1">
      <c r="A22" s="5" t="s">
        <v>114</v>
      </c>
      <c r="B22" s="1" t="s">
        <v>115</v>
      </c>
      <c r="C22" s="1" t="s">
        <v>116</v>
      </c>
      <c r="D22" s="1" t="s">
        <v>117</v>
      </c>
      <c r="E22" s="1" t="s">
        <v>112</v>
      </c>
      <c r="F22" s="6" t="s">
        <v>38</v>
      </c>
      <c r="G22" s="6" t="s">
        <v>176</v>
      </c>
    </row>
    <row r="23" spans="1:7" ht="16.5" thickTop="1" thickBot="1">
      <c r="A23" s="5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  <c r="F23" s="6" t="s">
        <v>123</v>
      </c>
      <c r="G23" s="6" t="s">
        <v>180</v>
      </c>
    </row>
    <row r="24" spans="1:7" ht="16.5" thickTop="1" thickBot="1">
      <c r="A24" s="5" t="s">
        <v>124</v>
      </c>
      <c r="B24" s="1" t="s">
        <v>125</v>
      </c>
      <c r="C24" s="1" t="s">
        <v>8</v>
      </c>
      <c r="D24" s="1" t="s">
        <v>64</v>
      </c>
      <c r="E24" s="1" t="s">
        <v>63</v>
      </c>
      <c r="F24" s="6" t="s">
        <v>59</v>
      </c>
      <c r="G24" s="6" t="s">
        <v>184</v>
      </c>
    </row>
    <row r="25" spans="1:7" ht="16.5" thickTop="1" thickBot="1">
      <c r="A25" s="5" t="s">
        <v>126</v>
      </c>
      <c r="B25" s="1" t="s">
        <v>127</v>
      </c>
      <c r="C25" s="1" t="s">
        <v>128</v>
      </c>
      <c r="D25" s="1" t="s">
        <v>129</v>
      </c>
      <c r="E25" s="1" t="s">
        <v>130</v>
      </c>
      <c r="F25" s="6" t="s">
        <v>59</v>
      </c>
      <c r="G25" s="6" t="s">
        <v>188</v>
      </c>
    </row>
    <row r="26" spans="1:7" ht="16.5" thickTop="1" thickBot="1">
      <c r="A26" s="5" t="s">
        <v>131</v>
      </c>
      <c r="B26" s="1" t="s">
        <v>132</v>
      </c>
      <c r="C26" s="1" t="s">
        <v>133</v>
      </c>
      <c r="D26" s="1" t="s">
        <v>121</v>
      </c>
      <c r="E26" s="1" t="s">
        <v>63</v>
      </c>
      <c r="F26" s="6" t="s">
        <v>59</v>
      </c>
      <c r="G26" s="6" t="s">
        <v>192</v>
      </c>
    </row>
    <row r="27" spans="1:7" ht="16.5" thickTop="1" thickBot="1">
      <c r="A27" s="7" t="s">
        <v>134</v>
      </c>
      <c r="B27" s="8" t="s">
        <v>135</v>
      </c>
      <c r="C27" s="8" t="s">
        <v>136</v>
      </c>
      <c r="D27" s="8" t="s">
        <v>137</v>
      </c>
      <c r="E27" s="8" t="s">
        <v>138</v>
      </c>
      <c r="F27" s="9" t="s">
        <v>139</v>
      </c>
      <c r="G27" s="9" t="s">
        <v>196</v>
      </c>
    </row>
    <row r="28" spans="1:7" ht="15.7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topLeftCell="A5" workbookViewId="0">
      <selection activeCell="E2" sqref="E2:E27"/>
    </sheetView>
  </sheetViews>
  <sheetFormatPr baseColWidth="10" defaultRowHeight="15"/>
  <cols>
    <col min="4" max="4" width="11.28515625" bestFit="1" customWidth="1"/>
    <col min="5" max="5" width="14.85546875" customWidth="1"/>
  </cols>
  <sheetData>
    <row r="1" spans="1:6" ht="16.5" thickTop="1" thickBot="1">
      <c r="A1" s="10" t="s">
        <v>140</v>
      </c>
      <c r="B1" s="20" t="s">
        <v>204</v>
      </c>
      <c r="C1" s="11" t="s">
        <v>201</v>
      </c>
      <c r="D1" s="11" t="s">
        <v>202</v>
      </c>
    </row>
    <row r="2" spans="1:6" ht="16.5" thickTop="1" thickBot="1">
      <c r="A2" s="2" t="s">
        <v>0</v>
      </c>
      <c r="B2" s="4">
        <v>8.08</v>
      </c>
      <c r="C2" s="3">
        <f>B2/100</f>
        <v>8.0799999999999997E-2</v>
      </c>
      <c r="D2" s="19">
        <f t="shared" ref="D2:D27" si="0">C2/$C$28</f>
        <v>8.9539007092198558E-2</v>
      </c>
      <c r="E2" t="str">
        <f>"'"&amp;$A2&amp;"' : "&amp;TEXT($D2,"0,00000")&amp;" ,"</f>
        <v>'a' : 0,08954 ,</v>
      </c>
      <c r="F2" s="13"/>
    </row>
    <row r="3" spans="1:6" ht="16.5" thickTop="1" thickBot="1">
      <c r="A3" s="5" t="s">
        <v>6</v>
      </c>
      <c r="B3" s="6">
        <v>1.67</v>
      </c>
      <c r="C3" s="3">
        <f t="shared" ref="C3:C26" si="1">B3/100</f>
        <v>1.67E-2</v>
      </c>
      <c r="D3" s="19">
        <f t="shared" si="0"/>
        <v>1.8506205673758859E-2</v>
      </c>
      <c r="E3" t="str">
        <f t="shared" ref="E3:E26" si="2">"'"&amp;$A3&amp;"' : "&amp;TEXT($D3,"0,00000")&amp;" ,"</f>
        <v>'b' : 0,01851 ,</v>
      </c>
      <c r="F3" s="13"/>
    </row>
    <row r="4" spans="1:6" ht="16.5" thickTop="1" thickBot="1">
      <c r="A4" s="5" t="s">
        <v>12</v>
      </c>
      <c r="B4" s="6">
        <v>3.18</v>
      </c>
      <c r="C4" s="3">
        <f t="shared" si="1"/>
        <v>3.1800000000000002E-2</v>
      </c>
      <c r="D4" s="19">
        <f t="shared" si="0"/>
        <v>3.5239361702127651E-2</v>
      </c>
      <c r="E4" t="str">
        <f t="shared" si="2"/>
        <v>'c' : 0,03524 ,</v>
      </c>
      <c r="F4" s="13"/>
    </row>
    <row r="5" spans="1:6" ht="16.5" thickTop="1" thickBot="1">
      <c r="A5" s="5" t="s">
        <v>18</v>
      </c>
      <c r="B5" s="6">
        <v>3.99</v>
      </c>
      <c r="C5" s="3">
        <f t="shared" si="1"/>
        <v>3.9900000000000005E-2</v>
      </c>
      <c r="D5" s="19">
        <f t="shared" si="0"/>
        <v>4.421542553191489E-2</v>
      </c>
      <c r="E5" t="str">
        <f t="shared" si="2"/>
        <v>'d' : 0,04422 ,</v>
      </c>
      <c r="F5" s="13"/>
    </row>
    <row r="6" spans="1:6" ht="16.5" thickTop="1" thickBot="1">
      <c r="A6" s="5" t="s">
        <v>24</v>
      </c>
      <c r="B6" s="6">
        <v>12.56</v>
      </c>
      <c r="C6" s="3">
        <f t="shared" si="1"/>
        <v>0.12560000000000002</v>
      </c>
      <c r="D6" s="19">
        <f t="shared" si="0"/>
        <v>0.13918439716312056</v>
      </c>
      <c r="E6" t="str">
        <f t="shared" si="2"/>
        <v>'e' : 0,13918 ,</v>
      </c>
      <c r="F6" s="13"/>
    </row>
    <row r="7" spans="1:6" ht="16.5" thickTop="1" thickBot="1">
      <c r="A7" s="5" t="s">
        <v>30</v>
      </c>
      <c r="B7" s="6">
        <v>2.17</v>
      </c>
      <c r="C7" s="3">
        <f t="shared" si="1"/>
        <v>2.1700000000000001E-2</v>
      </c>
      <c r="D7" s="19">
        <f t="shared" si="0"/>
        <v>2.4046985815602832E-2</v>
      </c>
      <c r="E7" t="str">
        <f t="shared" si="2"/>
        <v>'f' : 0,02405 ,</v>
      </c>
      <c r="F7" s="13"/>
    </row>
    <row r="8" spans="1:6" ht="16.5" thickTop="1" thickBot="1">
      <c r="A8" s="5" t="s">
        <v>36</v>
      </c>
      <c r="B8" s="6">
        <v>1.8</v>
      </c>
      <c r="C8" s="3">
        <f t="shared" si="1"/>
        <v>1.8000000000000002E-2</v>
      </c>
      <c r="D8" s="19">
        <f t="shared" si="0"/>
        <v>1.9946808510638295E-2</v>
      </c>
      <c r="E8" t="str">
        <f t="shared" si="2"/>
        <v>'g' : 0,01995 ,</v>
      </c>
      <c r="F8" s="13"/>
    </row>
    <row r="9" spans="1:6" ht="16.5" thickTop="1" thickBot="1">
      <c r="A9" s="5" t="s">
        <v>42</v>
      </c>
      <c r="B9" s="6">
        <v>5.27</v>
      </c>
      <c r="C9" s="3">
        <f t="shared" si="1"/>
        <v>5.2699999999999997E-2</v>
      </c>
      <c r="D9" s="19">
        <f t="shared" si="0"/>
        <v>5.8399822695035443E-2</v>
      </c>
      <c r="E9" t="str">
        <f t="shared" si="2"/>
        <v>'h' : 0,05840 ,</v>
      </c>
      <c r="F9" s="13"/>
    </row>
    <row r="10" spans="1:6" ht="16.5" thickTop="1" thickBot="1">
      <c r="A10" s="5" t="s">
        <v>48</v>
      </c>
      <c r="B10" s="6">
        <v>7.24</v>
      </c>
      <c r="C10" s="3">
        <f t="shared" si="1"/>
        <v>7.2400000000000006E-2</v>
      </c>
      <c r="D10" s="19">
        <f t="shared" si="0"/>
        <v>8.0230496453900693E-2</v>
      </c>
      <c r="E10" t="str">
        <f t="shared" si="2"/>
        <v>'i' : 0,08023 ,</v>
      </c>
      <c r="F10" s="13"/>
    </row>
    <row r="11" spans="1:6" ht="16.5" thickTop="1" thickBot="1">
      <c r="A11" s="5" t="s">
        <v>54</v>
      </c>
      <c r="B11" s="6">
        <v>0.14000000000000001</v>
      </c>
      <c r="C11" s="3">
        <f t="shared" si="1"/>
        <v>1.4000000000000002E-3</v>
      </c>
      <c r="D11" s="19">
        <f t="shared" si="0"/>
        <v>1.5514184397163119E-3</v>
      </c>
      <c r="E11" t="str">
        <f t="shared" si="2"/>
        <v>'j' : 0,00155 ,</v>
      </c>
      <c r="F11" s="13"/>
    </row>
    <row r="12" spans="1:6" ht="16.5" thickTop="1" thickBot="1">
      <c r="A12" s="5" t="s">
        <v>60</v>
      </c>
      <c r="B12" s="6">
        <v>0.63</v>
      </c>
      <c r="C12" s="3">
        <f t="shared" si="1"/>
        <v>6.3E-3</v>
      </c>
      <c r="D12" s="19">
        <f t="shared" si="0"/>
        <v>6.9813829787234031E-3</v>
      </c>
      <c r="E12" t="str">
        <f t="shared" si="2"/>
        <v>'k' : 0,00698 ,</v>
      </c>
      <c r="F12" s="13"/>
    </row>
    <row r="13" spans="1:6" ht="16.5" thickTop="1" thickBot="1">
      <c r="A13" s="5" t="s">
        <v>65</v>
      </c>
      <c r="B13" s="6">
        <v>4.04</v>
      </c>
      <c r="C13" s="3">
        <f t="shared" si="1"/>
        <v>4.0399999999999998E-2</v>
      </c>
      <c r="D13" s="19">
        <f t="shared" si="0"/>
        <v>4.4769503546099279E-2</v>
      </c>
      <c r="E13" t="str">
        <f t="shared" si="2"/>
        <v>'l' : 0,04477 ,</v>
      </c>
      <c r="F13" s="13"/>
    </row>
    <row r="14" spans="1:6" ht="16.5" thickTop="1" thickBot="1">
      <c r="A14" s="5" t="s">
        <v>70</v>
      </c>
      <c r="B14" s="6">
        <v>2.6</v>
      </c>
      <c r="C14" s="3">
        <f t="shared" si="1"/>
        <v>2.6000000000000002E-2</v>
      </c>
      <c r="D14" s="19">
        <f t="shared" si="0"/>
        <v>2.8812056737588649E-2</v>
      </c>
      <c r="E14" t="str">
        <f t="shared" si="2"/>
        <v>'m' : 0,02881 ,</v>
      </c>
      <c r="F14" s="13"/>
    </row>
    <row r="15" spans="1:6" ht="16.5" thickTop="1" thickBot="1">
      <c r="A15" s="5" t="s">
        <v>76</v>
      </c>
      <c r="B15" s="6">
        <v>7.38</v>
      </c>
      <c r="C15" s="3">
        <f t="shared" si="1"/>
        <v>7.3800000000000004E-2</v>
      </c>
      <c r="D15" s="19">
        <f t="shared" si="0"/>
        <v>8.1781914893617011E-2</v>
      </c>
      <c r="E15" t="str">
        <f t="shared" si="2"/>
        <v>'n' : 0,08178 ,</v>
      </c>
      <c r="F15" s="13"/>
    </row>
    <row r="16" spans="1:6" ht="16.5" thickTop="1" thickBot="1">
      <c r="A16" s="5" t="s">
        <v>82</v>
      </c>
      <c r="B16" s="6">
        <v>7.47</v>
      </c>
      <c r="C16" s="3">
        <f t="shared" si="1"/>
        <v>7.4700000000000003E-2</v>
      </c>
      <c r="D16" s="19">
        <f t="shared" si="0"/>
        <v>8.2779255319148926E-2</v>
      </c>
      <c r="E16" t="str">
        <f t="shared" si="2"/>
        <v>'o' : 0,08278 ,</v>
      </c>
      <c r="F16" s="13"/>
    </row>
    <row r="17" spans="1:6" ht="16.5" thickTop="1" thickBot="1">
      <c r="A17" s="5" t="s">
        <v>87</v>
      </c>
      <c r="B17" s="6">
        <v>1.91</v>
      </c>
      <c r="C17" s="3">
        <f t="shared" si="1"/>
        <v>1.9099999999999999E-2</v>
      </c>
      <c r="D17" s="19">
        <f t="shared" si="0"/>
        <v>2.1165780141843966E-2</v>
      </c>
      <c r="E17" t="str">
        <f t="shared" si="2"/>
        <v>'p' : 0,02117 ,</v>
      </c>
      <c r="F17" s="13"/>
    </row>
    <row r="18" spans="1:6" ht="16.5" thickTop="1" thickBot="1">
      <c r="A18" s="5" t="s">
        <v>92</v>
      </c>
      <c r="B18" s="6">
        <v>0.09</v>
      </c>
      <c r="C18" s="3">
        <f t="shared" si="1"/>
        <v>8.9999999999999998E-4</v>
      </c>
      <c r="D18" s="19">
        <f t="shared" si="0"/>
        <v>9.973404255319146E-4</v>
      </c>
      <c r="E18" t="str">
        <f t="shared" si="2"/>
        <v>'q' : 0,00100 ,</v>
      </c>
      <c r="F18" s="13"/>
    </row>
    <row r="19" spans="1:6" ht="16.5" thickTop="1" thickBot="1">
      <c r="A19" s="5" t="s">
        <v>97</v>
      </c>
      <c r="B19" s="6">
        <v>6.42</v>
      </c>
      <c r="C19" s="3">
        <f t="shared" si="1"/>
        <v>6.4199999999999993E-2</v>
      </c>
      <c r="D19" s="19">
        <f t="shared" si="0"/>
        <v>7.114361702127657E-2</v>
      </c>
      <c r="E19" t="str">
        <f t="shared" si="2"/>
        <v>'r' : 0,07114 ,</v>
      </c>
      <c r="F19" s="13"/>
    </row>
    <row r="20" spans="1:6" ht="16.5" thickTop="1" thickBot="1">
      <c r="A20" s="5" t="s">
        <v>103</v>
      </c>
      <c r="B20" s="6">
        <v>6.59</v>
      </c>
      <c r="C20" s="3">
        <f t="shared" si="1"/>
        <v>6.59E-2</v>
      </c>
      <c r="D20" s="19">
        <f t="shared" si="0"/>
        <v>7.3027482269503535E-2</v>
      </c>
      <c r="E20" t="str">
        <f t="shared" si="2"/>
        <v>'s' : 0,07303 ,</v>
      </c>
      <c r="F20" s="13"/>
    </row>
    <row r="21" spans="1:6" ht="16.5" thickTop="1" thickBot="1">
      <c r="A21" s="5" t="s">
        <v>109</v>
      </c>
      <c r="B21" s="6">
        <v>9.15</v>
      </c>
      <c r="C21" s="3">
        <f t="shared" si="1"/>
        <v>9.1499999999999998E-2</v>
      </c>
      <c r="D21" s="19">
        <f t="shared" si="0"/>
        <v>0.10139627659574466</v>
      </c>
      <c r="E21" t="str">
        <f t="shared" si="2"/>
        <v>'t' : 0,10140 ,</v>
      </c>
      <c r="F21" s="13"/>
    </row>
    <row r="22" spans="1:6" ht="16.5" thickTop="1" thickBot="1">
      <c r="A22" s="5" t="s">
        <v>114</v>
      </c>
      <c r="B22" s="6">
        <v>2.79</v>
      </c>
      <c r="C22" s="3">
        <f t="shared" si="1"/>
        <v>2.7900000000000001E-2</v>
      </c>
      <c r="D22" s="19">
        <f t="shared" si="0"/>
        <v>3.0917553191489356E-2</v>
      </c>
      <c r="E22" t="str">
        <f t="shared" si="2"/>
        <v>'u' : 0,03092 ,</v>
      </c>
      <c r="F22" s="13"/>
    </row>
    <row r="23" spans="1:6" ht="16.5" thickTop="1" thickBot="1">
      <c r="A23" s="5" t="s">
        <v>118</v>
      </c>
      <c r="B23" s="6">
        <v>1</v>
      </c>
      <c r="C23" s="3">
        <f t="shared" si="1"/>
        <v>0.01</v>
      </c>
      <c r="D23" s="19">
        <f t="shared" si="0"/>
        <v>1.108156028368794E-2</v>
      </c>
      <c r="E23" t="str">
        <f t="shared" si="2"/>
        <v>'v' : 0,01108 ,</v>
      </c>
      <c r="F23" s="13"/>
    </row>
    <row r="24" spans="1:6" ht="16.5" thickTop="1" thickBot="1">
      <c r="A24" s="5" t="s">
        <v>124</v>
      </c>
      <c r="B24" s="6">
        <v>1.89</v>
      </c>
      <c r="C24" s="3">
        <f t="shared" si="1"/>
        <v>1.89E-2</v>
      </c>
      <c r="D24" s="19">
        <f t="shared" si="0"/>
        <v>2.0944148936170207E-2</v>
      </c>
      <c r="E24" t="str">
        <f t="shared" si="2"/>
        <v>'w' : 0,02094 ,</v>
      </c>
      <c r="F24" s="13"/>
    </row>
    <row r="25" spans="1:6" ht="16.5" thickTop="1" thickBot="1">
      <c r="A25" s="5" t="s">
        <v>126</v>
      </c>
      <c r="B25" s="6">
        <v>0.21</v>
      </c>
      <c r="C25" s="3">
        <f t="shared" si="1"/>
        <v>2.0999999999999999E-3</v>
      </c>
      <c r="D25" s="19">
        <f t="shared" si="0"/>
        <v>2.3271276595744675E-3</v>
      </c>
      <c r="E25" t="str">
        <f t="shared" si="2"/>
        <v>'x' : 0,00233 ,</v>
      </c>
      <c r="F25" s="13"/>
    </row>
    <row r="26" spans="1:6" ht="16.5" thickTop="1" thickBot="1">
      <c r="A26" s="5" t="s">
        <v>131</v>
      </c>
      <c r="B26" s="6">
        <v>1.65</v>
      </c>
      <c r="C26" s="3">
        <f t="shared" si="1"/>
        <v>1.6500000000000001E-2</v>
      </c>
      <c r="D26" s="19">
        <f t="shared" si="0"/>
        <v>1.8284574468085103E-2</v>
      </c>
      <c r="E26" t="str">
        <f t="shared" si="2"/>
        <v>'y' : 0,01828 ,</v>
      </c>
      <c r="F26" s="13"/>
    </row>
    <row r="27" spans="1:6" ht="16.5" thickTop="1" thickBot="1">
      <c r="A27" s="7" t="s">
        <v>134</v>
      </c>
      <c r="B27" s="9">
        <v>7.0000000000000007E-2</v>
      </c>
      <c r="C27" s="3">
        <f>B27/100</f>
        <v>7.000000000000001E-4</v>
      </c>
      <c r="D27" s="19">
        <f t="shared" si="0"/>
        <v>7.7570921985815596E-4</v>
      </c>
      <c r="E27" t="str">
        <f>"'"&amp;$A27&amp;"' : "&amp;TEXT($D27,"0,00000")</f>
        <v>'z' : 0,00078</v>
      </c>
      <c r="F27" s="13"/>
    </row>
    <row r="28" spans="1:6" ht="15.75" thickTop="1">
      <c r="B28" t="s">
        <v>200</v>
      </c>
      <c r="C28">
        <f>SUM(C4:C27)</f>
        <v>0.9024000000000002</v>
      </c>
      <c r="D28">
        <f>SUM(D4:D27)</f>
        <v>0.99999999999999978</v>
      </c>
    </row>
    <row r="29" spans="1:6">
      <c r="B29" t="s">
        <v>203</v>
      </c>
      <c r="C29" s="14">
        <f>1-C28</f>
        <v>9.7599999999999798E-2</v>
      </c>
      <c r="D29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7"/>
  <sheetViews>
    <sheetView workbookViewId="0">
      <selection activeCell="B2" sqref="B2:B27"/>
    </sheetView>
  </sheetViews>
  <sheetFormatPr baseColWidth="10" defaultRowHeight="15"/>
  <sheetData>
    <row r="1" spans="1:2">
      <c r="A1" s="18" t="s">
        <v>140</v>
      </c>
      <c r="B1" s="18" t="s">
        <v>197</v>
      </c>
    </row>
    <row r="2" spans="1:2">
      <c r="A2" s="16" t="s">
        <v>198</v>
      </c>
      <c r="B2" s="15" t="s">
        <v>146</v>
      </c>
    </row>
    <row r="3" spans="1:2">
      <c r="A3" s="16" t="s">
        <v>149</v>
      </c>
      <c r="B3" s="17" t="s">
        <v>150</v>
      </c>
    </row>
    <row r="4" spans="1:2">
      <c r="A4" s="16" t="s">
        <v>153</v>
      </c>
      <c r="B4" s="17" t="s">
        <v>154</v>
      </c>
    </row>
    <row r="5" spans="1:2">
      <c r="A5" s="16" t="s">
        <v>157</v>
      </c>
      <c r="B5" s="17" t="s">
        <v>158</v>
      </c>
    </row>
    <row r="6" spans="1:2">
      <c r="A6" s="16" t="s">
        <v>161</v>
      </c>
      <c r="B6" s="15" t="s">
        <v>162</v>
      </c>
    </row>
    <row r="7" spans="1:2">
      <c r="A7" s="16" t="s">
        <v>165</v>
      </c>
      <c r="B7" s="17" t="s">
        <v>166</v>
      </c>
    </row>
    <row r="8" spans="1:2">
      <c r="A8" s="16" t="s">
        <v>169</v>
      </c>
      <c r="B8" s="17" t="s">
        <v>170</v>
      </c>
    </row>
    <row r="9" spans="1:2">
      <c r="A9" s="16" t="s">
        <v>173</v>
      </c>
      <c r="B9" s="17" t="s">
        <v>174</v>
      </c>
    </row>
    <row r="10" spans="1:2">
      <c r="A10" s="16" t="s">
        <v>177</v>
      </c>
      <c r="B10" s="15" t="s">
        <v>178</v>
      </c>
    </row>
    <row r="11" spans="1:2">
      <c r="A11" s="16" t="s">
        <v>181</v>
      </c>
      <c r="B11" s="17" t="s">
        <v>182</v>
      </c>
    </row>
    <row r="12" spans="1:2">
      <c r="A12" s="16" t="s">
        <v>185</v>
      </c>
      <c r="B12" s="17" t="s">
        <v>186</v>
      </c>
    </row>
    <row r="13" spans="1:2">
      <c r="A13" s="16" t="s">
        <v>189</v>
      </c>
      <c r="B13" s="17" t="s">
        <v>190</v>
      </c>
    </row>
    <row r="14" spans="1:2">
      <c r="A14" s="16" t="s">
        <v>193</v>
      </c>
      <c r="B14" s="17" t="s">
        <v>194</v>
      </c>
    </row>
    <row r="15" spans="1:2">
      <c r="A15" s="16" t="s">
        <v>147</v>
      </c>
      <c r="B15" s="15" t="s">
        <v>148</v>
      </c>
    </row>
    <row r="16" spans="1:2">
      <c r="A16" s="16" t="s">
        <v>151</v>
      </c>
      <c r="B16" s="15" t="s">
        <v>152</v>
      </c>
    </row>
    <row r="17" spans="1:2">
      <c r="A17" s="16" t="s">
        <v>155</v>
      </c>
      <c r="B17" s="17" t="s">
        <v>156</v>
      </c>
    </row>
    <row r="18" spans="1:2">
      <c r="A18" s="16" t="s">
        <v>159</v>
      </c>
      <c r="B18" s="17" t="s">
        <v>160</v>
      </c>
    </row>
    <row r="19" spans="1:2">
      <c r="A19" s="16" t="s">
        <v>163</v>
      </c>
      <c r="B19" s="17" t="s">
        <v>164</v>
      </c>
    </row>
    <row r="20" spans="1:2">
      <c r="A20" s="16" t="s">
        <v>167</v>
      </c>
      <c r="B20" s="17" t="s">
        <v>168</v>
      </c>
    </row>
    <row r="21" spans="1:2">
      <c r="A21" s="16" t="s">
        <v>171</v>
      </c>
      <c r="B21" s="15" t="s">
        <v>172</v>
      </c>
    </row>
    <row r="22" spans="1:2">
      <c r="A22" s="16" t="s">
        <v>175</v>
      </c>
      <c r="B22" s="17" t="s">
        <v>176</v>
      </c>
    </row>
    <row r="23" spans="1:2">
      <c r="A23" s="16" t="s">
        <v>179</v>
      </c>
      <c r="B23" s="17" t="s">
        <v>180</v>
      </c>
    </row>
    <row r="24" spans="1:2">
      <c r="A24" s="16" t="s">
        <v>183</v>
      </c>
      <c r="B24" s="17" t="s">
        <v>184</v>
      </c>
    </row>
    <row r="25" spans="1:2">
      <c r="A25" s="16" t="s">
        <v>187</v>
      </c>
      <c r="B25" s="17" t="s">
        <v>188</v>
      </c>
    </row>
    <row r="26" spans="1:2">
      <c r="A26" s="16" t="s">
        <v>191</v>
      </c>
      <c r="B26" s="17" t="s">
        <v>192</v>
      </c>
    </row>
    <row r="27" spans="1:2">
      <c r="A27" s="16" t="s">
        <v>195</v>
      </c>
      <c r="B27" s="17" t="s">
        <v>196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</dc:creator>
  <cp:lastModifiedBy>ID</cp:lastModifiedBy>
  <dcterms:created xsi:type="dcterms:W3CDTF">2016-12-03T17:22:04Z</dcterms:created>
  <dcterms:modified xsi:type="dcterms:W3CDTF">2019-05-15T07:28:58Z</dcterms:modified>
</cp:coreProperties>
</file>